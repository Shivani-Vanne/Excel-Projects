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88fb5bcb9bfc88/Documents/"/>
    </mc:Choice>
  </mc:AlternateContent>
  <xr:revisionPtr revIDLastSave="8" documentId="8_{D146139A-B2F6-4B14-9BB3-5B04A91E39B9}" xr6:coauthVersionLast="47" xr6:coauthVersionMax="47" xr10:uidLastSave="{DFFC6187-7635-4C37-9C00-A7A0E13A4BE0}"/>
  <bookViews>
    <workbookView xWindow="-108" yWindow="-108" windowWidth="23256" windowHeight="12456" xr2:uid="{BD9E9CE7-588E-43F1-9BB5-367CFB9C3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5" i="1" l="1"/>
  <c r="AC6" i="1"/>
  <c r="AC7" i="1"/>
  <c r="AC8" i="1"/>
  <c r="AC9" i="1"/>
  <c r="AC10" i="1"/>
  <c r="AC11" i="1"/>
  <c r="AC12" i="1"/>
  <c r="AC13" i="1"/>
  <c r="AC14" i="1"/>
  <c r="AC15" i="1"/>
  <c r="AC4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Y4" i="1"/>
  <c r="Y15" i="1"/>
  <c r="Y14" i="1"/>
  <c r="Y13" i="1"/>
  <c r="Y12" i="1"/>
  <c r="Y11" i="1"/>
  <c r="Y10" i="1"/>
  <c r="Y9" i="1"/>
  <c r="Y8" i="1"/>
  <c r="Y7" i="1"/>
  <c r="Y6" i="1"/>
  <c r="Y5" i="1"/>
  <c r="W4" i="1"/>
  <c r="U4" i="1"/>
  <c r="V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T5" i="1"/>
  <c r="T6" i="1"/>
  <c r="T7" i="1"/>
  <c r="T8" i="1"/>
  <c r="T9" i="1"/>
  <c r="T10" i="1"/>
  <c r="T11" i="1"/>
  <c r="T12" i="1"/>
  <c r="T13" i="1"/>
  <c r="T14" i="1"/>
  <c r="T15" i="1"/>
  <c r="T4" i="1"/>
  <c r="S4" i="1"/>
  <c r="Q4" i="1"/>
  <c r="P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R4" i="1"/>
  <c r="O4" i="1"/>
  <c r="N4" i="1"/>
  <c r="J5" i="1"/>
  <c r="J6" i="1"/>
  <c r="J7" i="1"/>
  <c r="J8" i="1"/>
  <c r="J9" i="1"/>
  <c r="J10" i="1"/>
  <c r="J11" i="1"/>
  <c r="J12" i="1"/>
  <c r="J13" i="1"/>
  <c r="J14" i="1"/>
  <c r="J15" i="1"/>
  <c r="J4" i="1"/>
  <c r="L4" i="1"/>
  <c r="K4" i="1"/>
  <c r="I4" i="1"/>
  <c r="X4" i="1" s="1"/>
  <c r="I5" i="1"/>
  <c r="S5" i="1" s="1"/>
  <c r="I6" i="1"/>
  <c r="S6" i="1" s="1"/>
  <c r="I7" i="1"/>
  <c r="I8" i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M4" i="1"/>
  <c r="S7" i="1"/>
  <c r="S8" i="1"/>
  <c r="S15" i="1"/>
  <c r="N5" i="1"/>
  <c r="N6" i="1"/>
  <c r="N7" i="1"/>
  <c r="N8" i="1"/>
  <c r="N9" i="1"/>
  <c r="N10" i="1"/>
  <c r="N11" i="1"/>
  <c r="N12" i="1"/>
  <c r="N13" i="1"/>
  <c r="N14" i="1"/>
  <c r="N15" i="1"/>
  <c r="X15" i="1" l="1"/>
  <c r="X12" i="1"/>
  <c r="X7" i="1"/>
  <c r="X14" i="1"/>
  <c r="X10" i="1"/>
  <c r="X6" i="1"/>
  <c r="X8" i="1"/>
  <c r="X11" i="1"/>
  <c r="X13" i="1"/>
  <c r="X9" i="1"/>
  <c r="X5" i="1"/>
</calcChain>
</file>

<file path=xl/sharedStrings.xml><?xml version="1.0" encoding="utf-8"?>
<sst xmlns="http://schemas.openxmlformats.org/spreadsheetml/2006/main" count="34" uniqueCount="34">
  <si>
    <t>firstName</t>
  </si>
  <si>
    <t>LastName</t>
  </si>
  <si>
    <t>hourlywages</t>
  </si>
  <si>
    <t>hoursWorked</t>
  </si>
  <si>
    <t>pay</t>
  </si>
  <si>
    <t>ravi</t>
  </si>
  <si>
    <t>ramu</t>
  </si>
  <si>
    <t>priya</t>
  </si>
  <si>
    <t>shiva</t>
  </si>
  <si>
    <t>shivani</t>
  </si>
  <si>
    <t>arjun</t>
  </si>
  <si>
    <t>vijay</t>
  </si>
  <si>
    <t>hema</t>
  </si>
  <si>
    <t>madhuri</t>
  </si>
  <si>
    <t>divya</t>
  </si>
  <si>
    <t>bhavana</t>
  </si>
  <si>
    <t>bhavya</t>
  </si>
  <si>
    <t>shetty</t>
  </si>
  <si>
    <t>kumar</t>
  </si>
  <si>
    <t>reddy</t>
  </si>
  <si>
    <t>teja</t>
  </si>
  <si>
    <t>kumma</t>
  </si>
  <si>
    <t>ajju</t>
  </si>
  <si>
    <t>munna</t>
  </si>
  <si>
    <t>latha</t>
  </si>
  <si>
    <t>krishna</t>
  </si>
  <si>
    <t>nikitha</t>
  </si>
  <si>
    <t>jagrlamudi</t>
  </si>
  <si>
    <t>inkollu</t>
  </si>
  <si>
    <t>bonus</t>
  </si>
  <si>
    <t>totalpay</t>
  </si>
  <si>
    <t>Employeepayroll</t>
  </si>
  <si>
    <t>overtimehrs</t>
  </si>
  <si>
    <t>janPay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</si>
</sst>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7" fontId="2" fillId="2" borderId="0" xfId="0" applyNumberFormat="1" applyFont="1" applyFill="1"/>
    <xf numFmtId="0" fontId="0" fillId="2" borderId="0" xfId="0" applyFill="1"/>
    <xf numFmtId="17" fontId="2" fillId="3" borderId="0" xfId="0" applyNumberFormat="1" applyFont="1" applyFill="1"/>
    <xf numFmtId="164" fontId="0" fillId="3" borderId="0" xfId="0" applyNumberFormat="1" applyFill="1"/>
    <xf numFmtId="17" fontId="2" fillId="4" borderId="0" xfId="0" applyNumberFormat="1" applyFont="1" applyFill="1"/>
    <xf numFmtId="164" fontId="0" fillId="4" borderId="0" xfId="0" applyNumberFormat="1" applyFill="1"/>
    <xf numFmtId="17" fontId="2" fillId="5" borderId="0" xfId="0" applyNumberFormat="1" applyFont="1" applyFill="1"/>
    <xf numFmtId="164" fontId="0" fillId="5" borderId="0" xfId="0" applyNumberFormat="1" applyFill="1"/>
    <xf numFmtId="17" fontId="2" fillId="6" borderId="0" xfId="0" applyNumberFormat="1" applyFont="1" applyFill="1"/>
    <xf numFmtId="0" fontId="0" fillId="6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385C-67DD-4A3D-87FE-EAEE6AF0902C}">
  <dimension ref="A1:AC16"/>
  <sheetViews>
    <sheetView tabSelected="1" zoomScale="70" zoomScaleNormal="100" workbookViewId="0">
      <selection activeCell="AF6" sqref="AF6"/>
    </sheetView>
  </sheetViews>
  <sheetFormatPr defaultRowHeight="14.4" x14ac:dyDescent="0.3"/>
  <cols>
    <col min="1" max="1" width="12.88671875" customWidth="1"/>
    <col min="2" max="2" width="11" customWidth="1"/>
    <col min="3" max="3" width="11.6640625" customWidth="1"/>
    <col min="4" max="13" width="12.44140625" customWidth="1"/>
    <col min="14" max="14" width="20.44140625" customWidth="1"/>
    <col min="15" max="15" width="17.21875" customWidth="1"/>
    <col min="16" max="16" width="16.5546875" customWidth="1"/>
    <col min="17" max="17" width="17.109375" customWidth="1"/>
    <col min="18" max="18" width="16.44140625" customWidth="1"/>
    <col min="19" max="19" width="14.109375" customWidth="1"/>
    <col min="20" max="20" width="15.44140625" customWidth="1"/>
    <col min="21" max="21" width="14.5546875" customWidth="1"/>
    <col min="22" max="22" width="13" customWidth="1"/>
    <col min="23" max="23" width="16.88671875" customWidth="1"/>
    <col min="24" max="24" width="23.77734375" customWidth="1"/>
    <col min="25" max="25" width="14.6640625" customWidth="1"/>
    <col min="26" max="26" width="12.77734375" customWidth="1"/>
    <col min="27" max="27" width="14.77734375" customWidth="1"/>
    <col min="28" max="28" width="16.44140625" customWidth="1"/>
    <col min="29" max="29" width="18.44140625" customWidth="1"/>
  </cols>
  <sheetData>
    <row r="1" spans="1:29" x14ac:dyDescent="0.3">
      <c r="A1" t="s">
        <v>31</v>
      </c>
    </row>
    <row r="2" spans="1:29" x14ac:dyDescent="0.3">
      <c r="D2" s="3" t="s">
        <v>3</v>
      </c>
      <c r="I2" t="s">
        <v>32</v>
      </c>
      <c r="N2" s="3" t="s">
        <v>4</v>
      </c>
      <c r="O2" s="3"/>
      <c r="P2" s="3"/>
      <c r="Q2" s="3"/>
      <c r="R2" s="3"/>
      <c r="S2" s="3" t="s">
        <v>29</v>
      </c>
      <c r="T2" s="3"/>
      <c r="U2" s="3"/>
      <c r="V2" s="3"/>
      <c r="W2" s="3"/>
      <c r="X2" s="3" t="s">
        <v>30</v>
      </c>
      <c r="AC2" t="s">
        <v>33</v>
      </c>
    </row>
    <row r="3" spans="1:29" x14ac:dyDescent="0.3">
      <c r="A3" s="3" t="s">
        <v>0</v>
      </c>
      <c r="B3" s="4" t="s">
        <v>1</v>
      </c>
      <c r="C3" s="3" t="s">
        <v>2</v>
      </c>
      <c r="D3" s="13">
        <v>36892</v>
      </c>
      <c r="E3" s="13">
        <v>39448</v>
      </c>
      <c r="F3" s="13">
        <v>42005</v>
      </c>
      <c r="G3" s="13">
        <v>44562</v>
      </c>
      <c r="H3" s="13">
        <v>47119</v>
      </c>
      <c r="I3" s="5">
        <v>36892</v>
      </c>
      <c r="J3" s="5">
        <v>39448</v>
      </c>
      <c r="K3" s="5">
        <v>42005</v>
      </c>
      <c r="L3" s="5">
        <v>44562</v>
      </c>
      <c r="M3" s="5">
        <v>47119</v>
      </c>
      <c r="N3" s="7">
        <v>36892</v>
      </c>
      <c r="O3" s="7">
        <v>39448</v>
      </c>
      <c r="P3" s="7">
        <v>42005</v>
      </c>
      <c r="Q3" s="7">
        <v>44562</v>
      </c>
      <c r="R3" s="7">
        <v>47119</v>
      </c>
      <c r="S3" s="9">
        <v>36892</v>
      </c>
      <c r="T3" s="9">
        <v>39448</v>
      </c>
      <c r="U3" s="9">
        <v>42005</v>
      </c>
      <c r="V3" s="9">
        <v>44562</v>
      </c>
      <c r="W3" s="9">
        <v>47119</v>
      </c>
      <c r="X3" s="11">
        <v>36892</v>
      </c>
      <c r="Y3" s="11">
        <v>39448</v>
      </c>
      <c r="Z3" s="11">
        <v>42005</v>
      </c>
      <c r="AA3" s="11">
        <v>44562</v>
      </c>
      <c r="AB3" s="11">
        <v>47119</v>
      </c>
      <c r="AC3" s="2"/>
    </row>
    <row r="4" spans="1:29" x14ac:dyDescent="0.3">
      <c r="A4" t="s">
        <v>5</v>
      </c>
      <c r="B4" t="s">
        <v>17</v>
      </c>
      <c r="C4" s="1">
        <v>500</v>
      </c>
      <c r="D4" s="14">
        <v>30</v>
      </c>
      <c r="E4" s="14">
        <v>32</v>
      </c>
      <c r="F4" s="14">
        <v>29</v>
      </c>
      <c r="G4" s="14">
        <v>30</v>
      </c>
      <c r="H4" s="14">
        <v>31</v>
      </c>
      <c r="I4" s="6">
        <f>IF(D4&gt;30,D4-30,0)</f>
        <v>0</v>
      </c>
      <c r="J4" s="6">
        <f>IF(E4&gt;30,E4-30,0)</f>
        <v>2</v>
      </c>
      <c r="K4" s="6">
        <f>IF(F4&gt;30,F4-30,0)</f>
        <v>0</v>
      </c>
      <c r="L4" s="6">
        <f>IF(G4&gt;L1730,G4-30,0)</f>
        <v>0</v>
      </c>
      <c r="M4" s="6">
        <f t="shared" ref="M4" si="0">IF(H4&gt;30,H4-30,0)</f>
        <v>1</v>
      </c>
      <c r="N4" s="8">
        <f>$C4*D4</f>
        <v>15000</v>
      </c>
      <c r="O4" s="8">
        <f>$C4*E4</f>
        <v>16000</v>
      </c>
      <c r="P4" s="8">
        <f>$C4*F4</f>
        <v>14500</v>
      </c>
      <c r="Q4" s="8">
        <f>$C4*G4</f>
        <v>15000</v>
      </c>
      <c r="R4" s="8">
        <f t="shared" ref="R4" si="1">$C4*H4</f>
        <v>15500</v>
      </c>
      <c r="S4" s="10">
        <f>0.5*I4*$C4</f>
        <v>0</v>
      </c>
      <c r="T4" s="10">
        <f>0.5*J4*$C4</f>
        <v>500</v>
      </c>
      <c r="U4" s="10">
        <f t="shared" ref="U4:W15" si="2">0.5*K4*$C4</f>
        <v>0</v>
      </c>
      <c r="V4" s="10">
        <f t="shared" si="2"/>
        <v>0</v>
      </c>
      <c r="W4" s="10">
        <f>0.5*M4*$C4</f>
        <v>250</v>
      </c>
      <c r="X4" s="12">
        <f t="shared" ref="X4:X15" si="3">S4+N4</f>
        <v>15000</v>
      </c>
      <c r="Y4" s="12">
        <f t="shared" ref="Y4:Y15" si="4">T4+O4</f>
        <v>16500</v>
      </c>
      <c r="Z4" s="12">
        <f t="shared" ref="Z4:AB15" si="5">U4+P4</f>
        <v>14500</v>
      </c>
      <c r="AA4" s="12">
        <f t="shared" si="5"/>
        <v>15000</v>
      </c>
      <c r="AB4" s="12">
        <f t="shared" si="5"/>
        <v>15750</v>
      </c>
      <c r="AC4" s="2">
        <f>SUM(X4:AB4)</f>
        <v>76750</v>
      </c>
    </row>
    <row r="5" spans="1:29" x14ac:dyDescent="0.3">
      <c r="A5" t="s">
        <v>6</v>
      </c>
      <c r="B5" t="s">
        <v>18</v>
      </c>
      <c r="C5" s="2">
        <v>460</v>
      </c>
      <c r="D5" s="14">
        <v>30</v>
      </c>
      <c r="E5" s="14">
        <v>34</v>
      </c>
      <c r="F5" s="14">
        <v>23</v>
      </c>
      <c r="G5" s="14">
        <v>30</v>
      </c>
      <c r="H5" s="14">
        <v>29</v>
      </c>
      <c r="I5" s="6">
        <f t="shared" ref="I5:I15" si="6">IF(D5&gt;30,D5-30,0)</f>
        <v>0</v>
      </c>
      <c r="J5" s="6">
        <f t="shared" ref="J5:J15" si="7">IF(E5&gt;30,E5-30,0)</f>
        <v>4</v>
      </c>
      <c r="K5" s="6">
        <f t="shared" ref="K5:K15" si="8">IF(F5&gt;30,F5-30,0)</f>
        <v>0</v>
      </c>
      <c r="L5" s="6">
        <f t="shared" ref="L5:L15" si="9">IF(G5&gt;30,G5-30,0)</f>
        <v>0</v>
      </c>
      <c r="M5" s="6">
        <f t="shared" ref="M5:M15" si="10">IF(H5&gt;30,H5-30,0)</f>
        <v>0</v>
      </c>
      <c r="N5" s="8">
        <f t="shared" ref="N5:N15" si="11">C5*D5</f>
        <v>13800</v>
      </c>
      <c r="O5" s="8">
        <f t="shared" ref="O5:O15" si="12">$C5*E5</f>
        <v>15640</v>
      </c>
      <c r="P5" s="8">
        <f t="shared" ref="P5:P15" si="13">$C5*F5</f>
        <v>10580</v>
      </c>
      <c r="Q5" s="8">
        <f t="shared" ref="Q5:Q15" si="14">$C5*G5</f>
        <v>13800</v>
      </c>
      <c r="R5" s="8">
        <f t="shared" ref="R5:R15" si="15">$C5*H5</f>
        <v>13340</v>
      </c>
      <c r="S5" s="10">
        <f t="shared" ref="S5:S15" si="16">0.5*I5*C5</f>
        <v>0</v>
      </c>
      <c r="T5" s="10">
        <f t="shared" ref="T5:T15" si="17">0.5*J5*$C5</f>
        <v>920</v>
      </c>
      <c r="U5" s="10">
        <f t="shared" si="2"/>
        <v>0</v>
      </c>
      <c r="V5" s="10">
        <f t="shared" si="2"/>
        <v>0</v>
      </c>
      <c r="W5" s="10">
        <f t="shared" si="2"/>
        <v>0</v>
      </c>
      <c r="X5" s="12">
        <f t="shared" si="3"/>
        <v>13800</v>
      </c>
      <c r="Y5" s="12">
        <f t="shared" si="4"/>
        <v>16560</v>
      </c>
      <c r="Z5" s="12">
        <f t="shared" si="5"/>
        <v>10580</v>
      </c>
      <c r="AA5" s="12">
        <f t="shared" si="5"/>
        <v>13800</v>
      </c>
      <c r="AB5" s="12">
        <f t="shared" si="5"/>
        <v>13340</v>
      </c>
      <c r="AC5" s="2">
        <f t="shared" ref="AC5:AC15" si="18">SUM(X5:AB5)</f>
        <v>68080</v>
      </c>
    </row>
    <row r="6" spans="1:29" x14ac:dyDescent="0.3">
      <c r="A6" t="s">
        <v>7</v>
      </c>
      <c r="B6" t="s">
        <v>19</v>
      </c>
      <c r="C6" s="2">
        <v>390</v>
      </c>
      <c r="D6" s="14">
        <v>32</v>
      </c>
      <c r="E6" s="14">
        <v>40</v>
      </c>
      <c r="F6" s="14">
        <v>30</v>
      </c>
      <c r="G6" s="14">
        <v>30</v>
      </c>
      <c r="H6" s="14">
        <v>30</v>
      </c>
      <c r="I6" s="6">
        <f t="shared" si="6"/>
        <v>2</v>
      </c>
      <c r="J6" s="6">
        <f t="shared" si="7"/>
        <v>10</v>
      </c>
      <c r="K6" s="6">
        <f t="shared" si="8"/>
        <v>0</v>
      </c>
      <c r="L6" s="6">
        <f t="shared" si="9"/>
        <v>0</v>
      </c>
      <c r="M6" s="6">
        <f t="shared" si="10"/>
        <v>0</v>
      </c>
      <c r="N6" s="8">
        <f t="shared" si="11"/>
        <v>12480</v>
      </c>
      <c r="O6" s="8">
        <f t="shared" si="12"/>
        <v>15600</v>
      </c>
      <c r="P6" s="8">
        <f t="shared" si="13"/>
        <v>11700</v>
      </c>
      <c r="Q6" s="8">
        <f t="shared" si="14"/>
        <v>11700</v>
      </c>
      <c r="R6" s="8">
        <f t="shared" si="15"/>
        <v>11700</v>
      </c>
      <c r="S6" s="10">
        <f t="shared" si="16"/>
        <v>390</v>
      </c>
      <c r="T6" s="10">
        <f t="shared" si="17"/>
        <v>1950</v>
      </c>
      <c r="U6" s="10">
        <f t="shared" si="2"/>
        <v>0</v>
      </c>
      <c r="V6" s="10">
        <f t="shared" si="2"/>
        <v>0</v>
      </c>
      <c r="W6" s="10">
        <f t="shared" si="2"/>
        <v>0</v>
      </c>
      <c r="X6" s="12">
        <f t="shared" si="3"/>
        <v>12870</v>
      </c>
      <c r="Y6" s="12">
        <f t="shared" si="4"/>
        <v>17550</v>
      </c>
      <c r="Z6" s="12">
        <f t="shared" si="5"/>
        <v>11700</v>
      </c>
      <c r="AA6" s="12">
        <f t="shared" si="5"/>
        <v>11700</v>
      </c>
      <c r="AB6" s="12">
        <f t="shared" si="5"/>
        <v>11700</v>
      </c>
      <c r="AC6" s="2">
        <f t="shared" si="18"/>
        <v>65520</v>
      </c>
    </row>
    <row r="7" spans="1:29" x14ac:dyDescent="0.3">
      <c r="A7" t="s">
        <v>8</v>
      </c>
      <c r="B7" t="s">
        <v>20</v>
      </c>
      <c r="C7" s="2">
        <v>890</v>
      </c>
      <c r="D7" s="14">
        <v>34</v>
      </c>
      <c r="E7" s="14">
        <v>24</v>
      </c>
      <c r="F7" s="14">
        <v>30</v>
      </c>
      <c r="G7" s="14">
        <v>29</v>
      </c>
      <c r="H7" s="14">
        <v>32</v>
      </c>
      <c r="I7" s="6">
        <f t="shared" si="6"/>
        <v>4</v>
      </c>
      <c r="J7" s="6">
        <f t="shared" si="7"/>
        <v>0</v>
      </c>
      <c r="K7" s="6">
        <f t="shared" si="8"/>
        <v>0</v>
      </c>
      <c r="L7" s="6">
        <f t="shared" si="9"/>
        <v>0</v>
      </c>
      <c r="M7" s="6">
        <f t="shared" si="10"/>
        <v>2</v>
      </c>
      <c r="N7" s="8">
        <f t="shared" si="11"/>
        <v>30260</v>
      </c>
      <c r="O7" s="8">
        <f t="shared" si="12"/>
        <v>21360</v>
      </c>
      <c r="P7" s="8">
        <f t="shared" si="13"/>
        <v>26700</v>
      </c>
      <c r="Q7" s="8">
        <f t="shared" si="14"/>
        <v>25810</v>
      </c>
      <c r="R7" s="8">
        <f t="shared" si="15"/>
        <v>28480</v>
      </c>
      <c r="S7" s="10">
        <f t="shared" si="16"/>
        <v>1780</v>
      </c>
      <c r="T7" s="10">
        <f t="shared" si="17"/>
        <v>0</v>
      </c>
      <c r="U7" s="10">
        <f t="shared" si="2"/>
        <v>0</v>
      </c>
      <c r="V7" s="10">
        <f t="shared" si="2"/>
        <v>0</v>
      </c>
      <c r="W7" s="10">
        <f t="shared" si="2"/>
        <v>890</v>
      </c>
      <c r="X7" s="12">
        <f t="shared" si="3"/>
        <v>32040</v>
      </c>
      <c r="Y7" s="12">
        <f t="shared" si="4"/>
        <v>21360</v>
      </c>
      <c r="Z7" s="12">
        <f t="shared" si="5"/>
        <v>26700</v>
      </c>
      <c r="AA7" s="12">
        <f t="shared" si="5"/>
        <v>25810</v>
      </c>
      <c r="AB7" s="12">
        <f t="shared" si="5"/>
        <v>29370</v>
      </c>
      <c r="AC7" s="2">
        <f t="shared" si="18"/>
        <v>135280</v>
      </c>
    </row>
    <row r="8" spans="1:29" x14ac:dyDescent="0.3">
      <c r="A8" t="s">
        <v>9</v>
      </c>
      <c r="B8" t="s">
        <v>21</v>
      </c>
      <c r="C8" s="2">
        <v>700</v>
      </c>
      <c r="D8" s="14">
        <v>35</v>
      </c>
      <c r="E8" s="14">
        <v>32</v>
      </c>
      <c r="F8" s="14">
        <v>32</v>
      </c>
      <c r="G8" s="14">
        <v>32</v>
      </c>
      <c r="H8" s="14">
        <v>30</v>
      </c>
      <c r="I8" s="6">
        <f t="shared" si="6"/>
        <v>5</v>
      </c>
      <c r="J8" s="6">
        <f t="shared" si="7"/>
        <v>2</v>
      </c>
      <c r="K8" s="6">
        <f t="shared" si="8"/>
        <v>2</v>
      </c>
      <c r="L8" s="6">
        <f t="shared" si="9"/>
        <v>2</v>
      </c>
      <c r="M8" s="6">
        <f t="shared" si="10"/>
        <v>0</v>
      </c>
      <c r="N8" s="8">
        <f t="shared" si="11"/>
        <v>24500</v>
      </c>
      <c r="O8" s="8">
        <f t="shared" si="12"/>
        <v>22400</v>
      </c>
      <c r="P8" s="8">
        <f t="shared" si="13"/>
        <v>22400</v>
      </c>
      <c r="Q8" s="8">
        <f t="shared" si="14"/>
        <v>22400</v>
      </c>
      <c r="R8" s="8">
        <f t="shared" si="15"/>
        <v>21000</v>
      </c>
      <c r="S8" s="10">
        <f t="shared" si="16"/>
        <v>1750</v>
      </c>
      <c r="T8" s="10">
        <f t="shared" si="17"/>
        <v>700</v>
      </c>
      <c r="U8" s="10">
        <f t="shared" si="2"/>
        <v>700</v>
      </c>
      <c r="V8" s="10">
        <f t="shared" si="2"/>
        <v>700</v>
      </c>
      <c r="W8" s="10">
        <f t="shared" si="2"/>
        <v>0</v>
      </c>
      <c r="X8" s="12">
        <f t="shared" si="3"/>
        <v>26250</v>
      </c>
      <c r="Y8" s="12">
        <f t="shared" si="4"/>
        <v>23100</v>
      </c>
      <c r="Z8" s="12">
        <f t="shared" si="5"/>
        <v>23100</v>
      </c>
      <c r="AA8" s="12">
        <f t="shared" si="5"/>
        <v>23100</v>
      </c>
      <c r="AB8" s="12">
        <f t="shared" si="5"/>
        <v>21000</v>
      </c>
      <c r="AC8" s="2">
        <f t="shared" si="18"/>
        <v>116550</v>
      </c>
    </row>
    <row r="9" spans="1:29" x14ac:dyDescent="0.3">
      <c r="A9" t="s">
        <v>10</v>
      </c>
      <c r="B9" t="s">
        <v>22</v>
      </c>
      <c r="C9" s="2">
        <v>300</v>
      </c>
      <c r="D9" s="14">
        <v>29</v>
      </c>
      <c r="E9" s="14">
        <v>33</v>
      </c>
      <c r="F9" s="14">
        <v>40</v>
      </c>
      <c r="G9" s="14">
        <v>34</v>
      </c>
      <c r="H9" s="14">
        <v>29</v>
      </c>
      <c r="I9" s="6">
        <f t="shared" si="6"/>
        <v>0</v>
      </c>
      <c r="J9" s="6">
        <f t="shared" si="7"/>
        <v>3</v>
      </c>
      <c r="K9" s="6">
        <f t="shared" si="8"/>
        <v>10</v>
      </c>
      <c r="L9" s="6">
        <f t="shared" si="9"/>
        <v>4</v>
      </c>
      <c r="M9" s="6">
        <f t="shared" si="10"/>
        <v>0</v>
      </c>
      <c r="N9" s="8">
        <f t="shared" si="11"/>
        <v>8700</v>
      </c>
      <c r="O9" s="8">
        <f t="shared" si="12"/>
        <v>9900</v>
      </c>
      <c r="P9" s="8">
        <f t="shared" si="13"/>
        <v>12000</v>
      </c>
      <c r="Q9" s="8">
        <f t="shared" si="14"/>
        <v>10200</v>
      </c>
      <c r="R9" s="8">
        <f t="shared" si="15"/>
        <v>8700</v>
      </c>
      <c r="S9" s="10">
        <f t="shared" si="16"/>
        <v>0</v>
      </c>
      <c r="T9" s="10">
        <f t="shared" si="17"/>
        <v>450</v>
      </c>
      <c r="U9" s="10">
        <f t="shared" si="2"/>
        <v>1500</v>
      </c>
      <c r="V9" s="10">
        <f t="shared" si="2"/>
        <v>600</v>
      </c>
      <c r="W9" s="10">
        <f t="shared" si="2"/>
        <v>0</v>
      </c>
      <c r="X9" s="12">
        <f t="shared" si="3"/>
        <v>8700</v>
      </c>
      <c r="Y9" s="12">
        <f t="shared" si="4"/>
        <v>10350</v>
      </c>
      <c r="Z9" s="12">
        <f t="shared" si="5"/>
        <v>13500</v>
      </c>
      <c r="AA9" s="12">
        <f t="shared" si="5"/>
        <v>10800</v>
      </c>
      <c r="AB9" s="12">
        <f t="shared" si="5"/>
        <v>8700</v>
      </c>
      <c r="AC9" s="2">
        <f t="shared" si="18"/>
        <v>52050</v>
      </c>
    </row>
    <row r="10" spans="1:29" x14ac:dyDescent="0.3">
      <c r="A10" t="s">
        <v>11</v>
      </c>
      <c r="B10" t="s">
        <v>23</v>
      </c>
      <c r="C10" s="2">
        <v>290</v>
      </c>
      <c r="D10" s="14">
        <v>27</v>
      </c>
      <c r="E10" s="14">
        <v>34</v>
      </c>
      <c r="F10" s="14">
        <v>28</v>
      </c>
      <c r="G10" s="14">
        <v>39</v>
      </c>
      <c r="H10" s="14">
        <v>23</v>
      </c>
      <c r="I10" s="6">
        <f t="shared" si="6"/>
        <v>0</v>
      </c>
      <c r="J10" s="6">
        <f t="shared" si="7"/>
        <v>4</v>
      </c>
      <c r="K10" s="6">
        <f t="shared" si="8"/>
        <v>0</v>
      </c>
      <c r="L10" s="6">
        <f t="shared" si="9"/>
        <v>9</v>
      </c>
      <c r="M10" s="6">
        <f t="shared" si="10"/>
        <v>0</v>
      </c>
      <c r="N10" s="8">
        <f t="shared" si="11"/>
        <v>7830</v>
      </c>
      <c r="O10" s="8">
        <f t="shared" si="12"/>
        <v>9860</v>
      </c>
      <c r="P10" s="8">
        <f t="shared" si="13"/>
        <v>8120</v>
      </c>
      <c r="Q10" s="8">
        <f t="shared" si="14"/>
        <v>11310</v>
      </c>
      <c r="R10" s="8">
        <f t="shared" si="15"/>
        <v>6670</v>
      </c>
      <c r="S10" s="10">
        <f t="shared" si="16"/>
        <v>0</v>
      </c>
      <c r="T10" s="10">
        <f t="shared" si="17"/>
        <v>580</v>
      </c>
      <c r="U10" s="10">
        <f t="shared" si="2"/>
        <v>0</v>
      </c>
      <c r="V10" s="10">
        <f t="shared" si="2"/>
        <v>1305</v>
      </c>
      <c r="W10" s="10">
        <f t="shared" si="2"/>
        <v>0</v>
      </c>
      <c r="X10" s="12">
        <f t="shared" si="3"/>
        <v>7830</v>
      </c>
      <c r="Y10" s="12">
        <f t="shared" si="4"/>
        <v>10440</v>
      </c>
      <c r="Z10" s="12">
        <f t="shared" si="5"/>
        <v>8120</v>
      </c>
      <c r="AA10" s="12">
        <f t="shared" si="5"/>
        <v>12615</v>
      </c>
      <c r="AB10" s="12">
        <f t="shared" si="5"/>
        <v>6670</v>
      </c>
      <c r="AC10" s="2">
        <f t="shared" si="18"/>
        <v>45675</v>
      </c>
    </row>
    <row r="11" spans="1:29" x14ac:dyDescent="0.3">
      <c r="A11" t="s">
        <v>12</v>
      </c>
      <c r="B11" t="s">
        <v>24</v>
      </c>
      <c r="C11" s="2">
        <v>569</v>
      </c>
      <c r="D11" s="14">
        <v>31</v>
      </c>
      <c r="E11" s="14">
        <v>21</v>
      </c>
      <c r="F11" s="14">
        <v>29</v>
      </c>
      <c r="G11" s="14">
        <v>37</v>
      </c>
      <c r="H11" s="14">
        <v>24</v>
      </c>
      <c r="I11" s="6">
        <f t="shared" si="6"/>
        <v>1</v>
      </c>
      <c r="J11" s="6">
        <f t="shared" si="7"/>
        <v>0</v>
      </c>
      <c r="K11" s="6">
        <f t="shared" si="8"/>
        <v>0</v>
      </c>
      <c r="L11" s="6">
        <f t="shared" si="9"/>
        <v>7</v>
      </c>
      <c r="M11" s="6">
        <f t="shared" si="10"/>
        <v>0</v>
      </c>
      <c r="N11" s="8">
        <f t="shared" si="11"/>
        <v>17639</v>
      </c>
      <c r="O11" s="8">
        <f t="shared" si="12"/>
        <v>11949</v>
      </c>
      <c r="P11" s="8">
        <f t="shared" si="13"/>
        <v>16501</v>
      </c>
      <c r="Q11" s="8">
        <f t="shared" si="14"/>
        <v>21053</v>
      </c>
      <c r="R11" s="8">
        <f t="shared" si="15"/>
        <v>13656</v>
      </c>
      <c r="S11" s="10">
        <f t="shared" si="16"/>
        <v>284.5</v>
      </c>
      <c r="T11" s="10">
        <f t="shared" si="17"/>
        <v>0</v>
      </c>
      <c r="U11" s="10">
        <f t="shared" si="2"/>
        <v>0</v>
      </c>
      <c r="V11" s="10">
        <f t="shared" si="2"/>
        <v>1991.5</v>
      </c>
      <c r="W11" s="10">
        <f t="shared" si="2"/>
        <v>0</v>
      </c>
      <c r="X11" s="12">
        <f t="shared" si="3"/>
        <v>17923.5</v>
      </c>
      <c r="Y11" s="12">
        <f t="shared" si="4"/>
        <v>11949</v>
      </c>
      <c r="Z11" s="12">
        <f t="shared" si="5"/>
        <v>16501</v>
      </c>
      <c r="AA11" s="12">
        <f t="shared" si="5"/>
        <v>23044.5</v>
      </c>
      <c r="AB11" s="12">
        <f t="shared" si="5"/>
        <v>13656</v>
      </c>
      <c r="AC11" s="2">
        <f t="shared" si="18"/>
        <v>83074</v>
      </c>
    </row>
    <row r="12" spans="1:29" x14ac:dyDescent="0.3">
      <c r="A12" t="s">
        <v>13</v>
      </c>
      <c r="B12" t="s">
        <v>25</v>
      </c>
      <c r="C12" s="2">
        <v>480</v>
      </c>
      <c r="D12" s="14">
        <v>30</v>
      </c>
      <c r="E12" s="14">
        <v>34</v>
      </c>
      <c r="F12" s="14">
        <v>30</v>
      </c>
      <c r="G12" s="14">
        <v>29</v>
      </c>
      <c r="H12" s="14">
        <v>28</v>
      </c>
      <c r="I12" s="6">
        <f t="shared" si="6"/>
        <v>0</v>
      </c>
      <c r="J12" s="6">
        <f t="shared" si="7"/>
        <v>4</v>
      </c>
      <c r="K12" s="6">
        <f t="shared" si="8"/>
        <v>0</v>
      </c>
      <c r="L12" s="6">
        <f t="shared" si="9"/>
        <v>0</v>
      </c>
      <c r="M12" s="6">
        <f t="shared" si="10"/>
        <v>0</v>
      </c>
      <c r="N12" s="8">
        <f t="shared" si="11"/>
        <v>14400</v>
      </c>
      <c r="O12" s="8">
        <f t="shared" si="12"/>
        <v>16320</v>
      </c>
      <c r="P12" s="8">
        <f t="shared" si="13"/>
        <v>14400</v>
      </c>
      <c r="Q12" s="8">
        <f t="shared" si="14"/>
        <v>13920</v>
      </c>
      <c r="R12" s="8">
        <f t="shared" si="15"/>
        <v>13440</v>
      </c>
      <c r="S12" s="10">
        <f t="shared" si="16"/>
        <v>0</v>
      </c>
      <c r="T12" s="10">
        <f t="shared" si="17"/>
        <v>960</v>
      </c>
      <c r="U12" s="10">
        <f t="shared" si="2"/>
        <v>0</v>
      </c>
      <c r="V12" s="10">
        <f t="shared" si="2"/>
        <v>0</v>
      </c>
      <c r="W12" s="10">
        <f t="shared" si="2"/>
        <v>0</v>
      </c>
      <c r="X12" s="12">
        <f t="shared" si="3"/>
        <v>14400</v>
      </c>
      <c r="Y12" s="12">
        <f t="shared" si="4"/>
        <v>17280</v>
      </c>
      <c r="Z12" s="12">
        <f t="shared" si="5"/>
        <v>14400</v>
      </c>
      <c r="AA12" s="12">
        <f t="shared" si="5"/>
        <v>13920</v>
      </c>
      <c r="AB12" s="12">
        <f t="shared" si="5"/>
        <v>13440</v>
      </c>
      <c r="AC12" s="2">
        <f t="shared" si="18"/>
        <v>73440</v>
      </c>
    </row>
    <row r="13" spans="1:29" x14ac:dyDescent="0.3">
      <c r="A13" t="s">
        <v>14</v>
      </c>
      <c r="B13" t="s">
        <v>26</v>
      </c>
      <c r="C13" s="2">
        <v>870</v>
      </c>
      <c r="D13" s="14">
        <v>29</v>
      </c>
      <c r="E13" s="14">
        <v>39</v>
      </c>
      <c r="F13" s="14">
        <v>30</v>
      </c>
      <c r="G13" s="14">
        <v>30</v>
      </c>
      <c r="H13" s="14">
        <v>32</v>
      </c>
      <c r="I13" s="6">
        <f t="shared" si="6"/>
        <v>0</v>
      </c>
      <c r="J13" s="6">
        <f t="shared" si="7"/>
        <v>9</v>
      </c>
      <c r="K13" s="6">
        <f t="shared" si="8"/>
        <v>0</v>
      </c>
      <c r="L13" s="6">
        <f t="shared" si="9"/>
        <v>0</v>
      </c>
      <c r="M13" s="6">
        <f t="shared" si="10"/>
        <v>2</v>
      </c>
      <c r="N13" s="8">
        <f t="shared" si="11"/>
        <v>25230</v>
      </c>
      <c r="O13" s="8">
        <f t="shared" si="12"/>
        <v>33930</v>
      </c>
      <c r="P13" s="8">
        <f t="shared" si="13"/>
        <v>26100</v>
      </c>
      <c r="Q13" s="8">
        <f t="shared" si="14"/>
        <v>26100</v>
      </c>
      <c r="R13" s="8">
        <f t="shared" si="15"/>
        <v>27840</v>
      </c>
      <c r="S13" s="10">
        <f t="shared" si="16"/>
        <v>0</v>
      </c>
      <c r="T13" s="10">
        <f t="shared" si="17"/>
        <v>3915</v>
      </c>
      <c r="U13" s="10">
        <f t="shared" si="2"/>
        <v>0</v>
      </c>
      <c r="V13" s="10">
        <f t="shared" si="2"/>
        <v>0</v>
      </c>
      <c r="W13" s="10">
        <f t="shared" si="2"/>
        <v>870</v>
      </c>
      <c r="X13" s="12">
        <f t="shared" si="3"/>
        <v>25230</v>
      </c>
      <c r="Y13" s="12">
        <f t="shared" si="4"/>
        <v>37845</v>
      </c>
      <c r="Z13" s="12">
        <f t="shared" si="5"/>
        <v>26100</v>
      </c>
      <c r="AA13" s="12">
        <f t="shared" si="5"/>
        <v>26100</v>
      </c>
      <c r="AB13" s="12">
        <f t="shared" si="5"/>
        <v>28710</v>
      </c>
      <c r="AC13" s="2">
        <f t="shared" si="18"/>
        <v>143985</v>
      </c>
    </row>
    <row r="14" spans="1:29" x14ac:dyDescent="0.3">
      <c r="A14" t="s">
        <v>15</v>
      </c>
      <c r="B14" t="s">
        <v>27</v>
      </c>
      <c r="C14" s="2">
        <v>430</v>
      </c>
      <c r="D14" s="14">
        <v>26</v>
      </c>
      <c r="E14" s="14">
        <v>30</v>
      </c>
      <c r="F14" s="14">
        <v>30</v>
      </c>
      <c r="G14" s="14">
        <v>30</v>
      </c>
      <c r="H14" s="14">
        <v>34</v>
      </c>
      <c r="I14" s="6">
        <f t="shared" si="6"/>
        <v>0</v>
      </c>
      <c r="J14" s="6">
        <f t="shared" si="7"/>
        <v>0</v>
      </c>
      <c r="K14" s="6">
        <f t="shared" si="8"/>
        <v>0</v>
      </c>
      <c r="L14" s="6">
        <f t="shared" si="9"/>
        <v>0</v>
      </c>
      <c r="M14" s="6">
        <f t="shared" si="10"/>
        <v>4</v>
      </c>
      <c r="N14" s="8">
        <f t="shared" si="11"/>
        <v>11180</v>
      </c>
      <c r="O14" s="8">
        <f t="shared" si="12"/>
        <v>12900</v>
      </c>
      <c r="P14" s="8">
        <f t="shared" si="13"/>
        <v>12900</v>
      </c>
      <c r="Q14" s="8">
        <f t="shared" si="14"/>
        <v>12900</v>
      </c>
      <c r="R14" s="8">
        <f t="shared" si="15"/>
        <v>14620</v>
      </c>
      <c r="S14" s="10">
        <f t="shared" si="16"/>
        <v>0</v>
      </c>
      <c r="T14" s="10">
        <f t="shared" si="17"/>
        <v>0</v>
      </c>
      <c r="U14" s="10">
        <f t="shared" si="2"/>
        <v>0</v>
      </c>
      <c r="V14" s="10">
        <f t="shared" si="2"/>
        <v>0</v>
      </c>
      <c r="W14" s="10">
        <f t="shared" si="2"/>
        <v>860</v>
      </c>
      <c r="X14" s="12">
        <f t="shared" si="3"/>
        <v>11180</v>
      </c>
      <c r="Y14" s="12">
        <f t="shared" si="4"/>
        <v>12900</v>
      </c>
      <c r="Z14" s="12">
        <f t="shared" si="5"/>
        <v>12900</v>
      </c>
      <c r="AA14" s="12">
        <f t="shared" si="5"/>
        <v>12900</v>
      </c>
      <c r="AB14" s="12">
        <f t="shared" si="5"/>
        <v>15480</v>
      </c>
      <c r="AC14" s="2">
        <f t="shared" si="18"/>
        <v>65360</v>
      </c>
    </row>
    <row r="15" spans="1:29" x14ac:dyDescent="0.3">
      <c r="A15" t="s">
        <v>16</v>
      </c>
      <c r="B15" t="s">
        <v>28</v>
      </c>
      <c r="C15" s="2">
        <v>770</v>
      </c>
      <c r="D15" s="14">
        <v>32</v>
      </c>
      <c r="E15" s="14">
        <v>30</v>
      </c>
      <c r="F15" s="14">
        <v>30</v>
      </c>
      <c r="G15" s="14">
        <v>32</v>
      </c>
      <c r="H15" s="14">
        <v>35</v>
      </c>
      <c r="I15" s="6">
        <f t="shared" si="6"/>
        <v>2</v>
      </c>
      <c r="J15" s="6">
        <f t="shared" si="7"/>
        <v>0</v>
      </c>
      <c r="K15" s="6">
        <f t="shared" si="8"/>
        <v>0</v>
      </c>
      <c r="L15" s="6">
        <f t="shared" si="9"/>
        <v>2</v>
      </c>
      <c r="M15" s="6">
        <f t="shared" si="10"/>
        <v>5</v>
      </c>
      <c r="N15" s="8">
        <f t="shared" si="11"/>
        <v>24640</v>
      </c>
      <c r="O15" s="8">
        <f t="shared" si="12"/>
        <v>23100</v>
      </c>
      <c r="P15" s="8">
        <f t="shared" si="13"/>
        <v>23100</v>
      </c>
      <c r="Q15" s="8">
        <f t="shared" si="14"/>
        <v>24640</v>
      </c>
      <c r="R15" s="8">
        <f t="shared" si="15"/>
        <v>26950</v>
      </c>
      <c r="S15" s="10">
        <f t="shared" si="16"/>
        <v>770</v>
      </c>
      <c r="T15" s="10">
        <f t="shared" si="17"/>
        <v>0</v>
      </c>
      <c r="U15" s="10">
        <f t="shared" si="2"/>
        <v>0</v>
      </c>
      <c r="V15" s="10">
        <f t="shared" si="2"/>
        <v>770</v>
      </c>
      <c r="W15" s="10">
        <f t="shared" si="2"/>
        <v>1925</v>
      </c>
      <c r="X15" s="12">
        <f t="shared" si="3"/>
        <v>25410</v>
      </c>
      <c r="Y15" s="12">
        <f t="shared" si="4"/>
        <v>23100</v>
      </c>
      <c r="Z15" s="12">
        <f t="shared" si="5"/>
        <v>23100</v>
      </c>
      <c r="AA15" s="12">
        <f t="shared" si="5"/>
        <v>25410</v>
      </c>
      <c r="AB15" s="12">
        <f t="shared" si="5"/>
        <v>28875</v>
      </c>
      <c r="AC15" s="2">
        <f t="shared" si="18"/>
        <v>125895</v>
      </c>
    </row>
    <row r="16" spans="1:29" x14ac:dyDescent="0.3">
      <c r="N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Vanne</dc:creator>
  <cp:lastModifiedBy>Shivani Vanne</cp:lastModifiedBy>
  <dcterms:created xsi:type="dcterms:W3CDTF">2025-10-30T03:18:23Z</dcterms:created>
  <dcterms:modified xsi:type="dcterms:W3CDTF">2025-11-03T07:43:26Z</dcterms:modified>
</cp:coreProperties>
</file>